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Quarter Share (Deb)" sheetId="2" r:id="rId5"/>
    <sheet state="visible" name="Quarter Share (Jon)" sheetId="3" r:id="rId6"/>
    <sheet state="visible" name="Half Share (Matt)" sheetId="4" r:id="rId7"/>
  </sheets>
  <definedNames/>
  <calcPr/>
</workbook>
</file>

<file path=xl/sharedStrings.xml><?xml version="1.0" encoding="utf-8"?>
<sst xmlns="http://schemas.openxmlformats.org/spreadsheetml/2006/main" count="124" uniqueCount="52">
  <si>
    <t>Farmer delivery</t>
  </si>
  <si>
    <t>Farmer Rate</t>
  </si>
  <si>
    <t>/lb</t>
  </si>
  <si>
    <t>Total</t>
  </si>
  <si>
    <t>Hog weight</t>
  </si>
  <si>
    <t>lbs</t>
  </si>
  <si>
    <t>&lt;&lt;= farmer</t>
  </si>
  <si>
    <t>Butchering Charge</t>
  </si>
  <si>
    <t>&lt;&lt;= butcher</t>
  </si>
  <si>
    <t>Offal Disposal</t>
  </si>
  <si>
    <t>Hanging Processing</t>
  </si>
  <si>
    <t>Measured Totals</t>
  </si>
  <si>
    <t>$</t>
  </si>
  <si>
    <t>curring smoking</t>
  </si>
  <si>
    <t>sausage</t>
  </si>
  <si>
    <t>measured weight</t>
  </si>
  <si>
    <t>Delta Calc to real</t>
  </si>
  <si>
    <t>Ring Bologna</t>
  </si>
  <si>
    <t>Braunsweiger</t>
  </si>
  <si>
    <t>Total Calculated$</t>
  </si>
  <si>
    <t>Quarter Hog (Deb)</t>
  </si>
  <si>
    <t>Processing $</t>
  </si>
  <si>
    <t>Weight</t>
  </si>
  <si>
    <t>Farmer Delivery</t>
  </si>
  <si>
    <t>Farmer Fee</t>
  </si>
  <si>
    <t>Curing and Smoking</t>
  </si>
  <si>
    <t>&lt;==total curing weight</t>
  </si>
  <si>
    <t>Ground Pork</t>
  </si>
  <si>
    <t>3 packs</t>
  </si>
  <si>
    <t>Sausage</t>
  </si>
  <si>
    <t>Short ribs</t>
  </si>
  <si>
    <t>1 pack</t>
  </si>
  <si>
    <t>Smoked Hocks</t>
  </si>
  <si>
    <t>Ham Roast</t>
  </si>
  <si>
    <t>2 packs</t>
  </si>
  <si>
    <t>Shoulder</t>
  </si>
  <si>
    <t>Chops</t>
  </si>
  <si>
    <t>5 packs of 2</t>
  </si>
  <si>
    <t>Bacon</t>
  </si>
  <si>
    <t>4 packs</t>
  </si>
  <si>
    <t>Split of trimming weight</t>
  </si>
  <si>
    <t>&lt;===  difference between scale measuring your actual cuts and total hanging</t>
  </si>
  <si>
    <t>Total weight(lbs)</t>
  </si>
  <si>
    <t>TOTAL:</t>
  </si>
  <si>
    <t>Quarter Hog (Jon)</t>
  </si>
  <si>
    <t>Half Hog</t>
  </si>
  <si>
    <t>7 packs</t>
  </si>
  <si>
    <t>6 packs</t>
  </si>
  <si>
    <t>10 packs plus 1</t>
  </si>
  <si>
    <t>6?</t>
  </si>
  <si>
    <t>Lard</t>
  </si>
  <si>
    <t>8 packs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</si>
</sst>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sz val="11.0"/>
      <color rgb="FF1155CC"/>
      <name val="Arial"/>
    </font>
    <font>
      <sz val="11.0"/>
      <color rgb="FF1155CC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Font="1" applyNumberFormat="1"/>
    <xf borderId="1" fillId="0" fontId="1" numFmtId="165" xfId="0" applyAlignment="1" applyBorder="1" applyFont="1" applyNumberFormat="1">
      <alignment readingOrder="0"/>
    </xf>
    <xf borderId="0" fillId="0" fontId="3" numFmtId="165" xfId="0" applyFont="1" applyNumberFormat="1"/>
    <xf borderId="0" fillId="0" fontId="1" numFmtId="165" xfId="0" applyFont="1" applyNumberFormat="1"/>
    <xf borderId="0" fillId="0" fontId="3" numFmtId="0" xfId="0" applyAlignment="1" applyFont="1">
      <alignment readingOrder="0"/>
    </xf>
    <xf borderId="0" fillId="0" fontId="1" numFmtId="0" xfId="0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2" fontId="4" numFmtId="165" xfId="0" applyAlignment="1" applyFill="1" applyFont="1" applyNumberFormat="1">
      <alignment readingOrder="0"/>
    </xf>
    <xf borderId="4" fillId="0" fontId="3" numFmtId="0" xfId="0" applyAlignment="1" applyBorder="1" applyFont="1">
      <alignment horizontal="right" readingOrder="0"/>
    </xf>
    <xf borderId="5" fillId="0" fontId="1" numFmtId="165" xfId="0" applyBorder="1" applyFont="1" applyNumberFormat="1"/>
    <xf borderId="6" fillId="0" fontId="1" numFmtId="0" xfId="0" applyBorder="1" applyFont="1"/>
    <xf borderId="7" fillId="0" fontId="1" numFmtId="165" xfId="0" applyBorder="1" applyFont="1" applyNumberFormat="1"/>
    <xf borderId="0" fillId="2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B1" s="1" t="s">
        <v>0</v>
      </c>
      <c r="C1" s="2">
        <v>20.0</v>
      </c>
    </row>
    <row r="2">
      <c r="B2" s="1" t="s">
        <v>1</v>
      </c>
      <c r="C2" s="3">
        <v>3.6</v>
      </c>
      <c r="D2" s="1" t="s">
        <v>2</v>
      </c>
      <c r="F2" s="4" t="s">
        <v>3</v>
      </c>
    </row>
    <row r="3">
      <c r="B3" s="1" t="s">
        <v>4</v>
      </c>
      <c r="C3" s="1">
        <v>173.0</v>
      </c>
      <c r="D3" s="1" t="s">
        <v>5</v>
      </c>
      <c r="F3" s="5">
        <f>(C2*C3)+C1</f>
        <v>642.8</v>
      </c>
      <c r="G3" s="1" t="s">
        <v>6</v>
      </c>
    </row>
    <row r="4">
      <c r="B4" s="1" t="s">
        <v>7</v>
      </c>
      <c r="C4" s="2">
        <v>30.0</v>
      </c>
      <c r="F4" s="6">
        <v>272.49</v>
      </c>
      <c r="G4" s="1" t="s">
        <v>8</v>
      </c>
    </row>
    <row r="5">
      <c r="B5" s="1" t="s">
        <v>9</v>
      </c>
      <c r="C5" s="2">
        <v>10.0</v>
      </c>
      <c r="F5" s="7">
        <f>sum(F3:F4)</f>
        <v>915.29</v>
      </c>
    </row>
    <row r="6">
      <c r="B6" s="1" t="s">
        <v>10</v>
      </c>
      <c r="C6" s="8">
        <f>0.68*C3</f>
        <v>117.64</v>
      </c>
    </row>
    <row r="8">
      <c r="B8" s="9" t="s">
        <v>11</v>
      </c>
      <c r="C8" s="1" t="s">
        <v>12</v>
      </c>
      <c r="D8" s="1" t="s">
        <v>5</v>
      </c>
    </row>
    <row r="9">
      <c r="B9" s="1" t="s">
        <v>13</v>
      </c>
      <c r="C9" s="5">
        <f>'Quarter Share (Deb)'!C6+'Quarter Share (Jon)'!C6+'Half Share (Matt)'!C6</f>
        <v>55.224</v>
      </c>
      <c r="D9" s="10">
        <f>'Quarter Share (Deb)'!D6+'Quarter Share (Jon)'!D6+'Half Share (Matt)'!D6</f>
        <v>46.02</v>
      </c>
    </row>
    <row r="10">
      <c r="B10" s="1" t="s">
        <v>14</v>
      </c>
      <c r="C10" s="5">
        <f>'Quarter Share (Deb)'!C10+'Quarter Share (Jon)'!C10+'Half Share (Matt)'!C10</f>
        <v>8.8725</v>
      </c>
      <c r="D10" s="10">
        <f>'Quarter Share (Deb)'!D10+'Quarter Share (Jon)'!D10+'Half Share (Matt)'!D10</f>
        <v>13.65</v>
      </c>
    </row>
    <row r="11">
      <c r="B11" s="1" t="s">
        <v>15</v>
      </c>
      <c r="D11" s="10">
        <f>'Quarter Share (Deb)'!D23+'Quarter Share (Jon)'!D23+'Half Share (Matt)'!D23</f>
        <v>173</v>
      </c>
      <c r="F11" s="1" t="s">
        <v>16</v>
      </c>
    </row>
    <row r="12">
      <c r="B12" s="1" t="s">
        <v>17</v>
      </c>
      <c r="C12" s="5">
        <f>'Quarter Share (Deb)'!C20+'Quarter Share (Jon)'!C20+'Half Share (Matt)'!C20</f>
        <v>18.34</v>
      </c>
      <c r="F12" s="5">
        <f>F5-C15</f>
        <v>0.2935</v>
      </c>
    </row>
    <row r="13">
      <c r="B13" s="1" t="s">
        <v>18</v>
      </c>
      <c r="C13" s="5">
        <f>'Quarter Share (Deb)'!C21+'Quarter Share (Jon)'!C21+'Half Share (Matt)'!C21</f>
        <v>20.92</v>
      </c>
      <c r="F13" s="10">
        <f>C3-D11</f>
        <v>0</v>
      </c>
    </row>
    <row r="15">
      <c r="B15" s="1" t="s">
        <v>19</v>
      </c>
      <c r="C15" s="5">
        <f>'Quarter Share (Deb)'!C24+'Quarter Share (Jon)'!C24+'Half Share (Matt)'!C24</f>
        <v>914.9965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20</v>
      </c>
      <c r="C1" s="3" t="s">
        <v>21</v>
      </c>
      <c r="D1" s="1" t="s">
        <v>22</v>
      </c>
    </row>
    <row r="2">
      <c r="B2" s="1" t="s">
        <v>23</v>
      </c>
      <c r="C2" s="3">
        <f>Summary!C1/4</f>
        <v>5</v>
      </c>
    </row>
    <row r="3">
      <c r="B3" s="1" t="s">
        <v>24</v>
      </c>
      <c r="C3" s="5">
        <f>D23*Summary!C2</f>
        <v>138.015</v>
      </c>
    </row>
    <row r="4">
      <c r="B4" s="1" t="s">
        <v>7</v>
      </c>
      <c r="C4" s="5">
        <f>Summary!C4/4</f>
        <v>7.5</v>
      </c>
    </row>
    <row r="5">
      <c r="B5" s="1" t="s">
        <v>9</v>
      </c>
      <c r="C5" s="5">
        <f>Summary!C5/4</f>
        <v>2.5</v>
      </c>
    </row>
    <row r="6">
      <c r="B6" s="1" t="s">
        <v>25</v>
      </c>
      <c r="C6" s="5">
        <f>1.2*D6</f>
        <v>13.32</v>
      </c>
      <c r="D6" s="10">
        <f>D12+D13+D16</f>
        <v>11.1</v>
      </c>
      <c r="E6" s="1" t="s">
        <v>26</v>
      </c>
    </row>
    <row r="7">
      <c r="B7" s="1" t="s">
        <v>10</v>
      </c>
      <c r="C7" s="5">
        <f>Summary!C6/4</f>
        <v>29.41</v>
      </c>
      <c r="E7" s="1"/>
    </row>
    <row r="8">
      <c r="B8" s="1"/>
      <c r="C8" s="5"/>
      <c r="E8" s="1"/>
    </row>
    <row r="9">
      <c r="B9" s="1" t="s">
        <v>27</v>
      </c>
      <c r="C9" s="5"/>
      <c r="D9" s="11">
        <v>3.12</v>
      </c>
      <c r="E9" s="1" t="s">
        <v>28</v>
      </c>
    </row>
    <row r="10">
      <c r="B10" s="1" t="s">
        <v>29</v>
      </c>
      <c r="C10" s="5">
        <f>0.65*D10</f>
        <v>2.171</v>
      </c>
      <c r="D10" s="12">
        <v>3.34</v>
      </c>
      <c r="E10" s="1" t="s">
        <v>28</v>
      </c>
    </row>
    <row r="11">
      <c r="B11" s="1" t="s">
        <v>30</v>
      </c>
      <c r="C11" s="5"/>
      <c r="D11" s="12">
        <v>2.12</v>
      </c>
      <c r="E11" s="1" t="s">
        <v>31</v>
      </c>
    </row>
    <row r="12">
      <c r="B12" s="1" t="s">
        <v>32</v>
      </c>
      <c r="C12" s="5"/>
      <c r="D12" s="12">
        <v>1.59</v>
      </c>
      <c r="E12" s="1" t="s">
        <v>31</v>
      </c>
    </row>
    <row r="13">
      <c r="B13" s="1" t="s">
        <v>33</v>
      </c>
      <c r="C13" s="5"/>
      <c r="D13" s="12">
        <v>5.21</v>
      </c>
      <c r="E13" s="1" t="s">
        <v>34</v>
      </c>
    </row>
    <row r="14">
      <c r="B14" s="1" t="s">
        <v>35</v>
      </c>
      <c r="C14" s="5"/>
      <c r="D14" s="12">
        <v>3.9</v>
      </c>
      <c r="E14" s="1" t="s">
        <v>31</v>
      </c>
    </row>
    <row r="15">
      <c r="B15" s="1" t="s">
        <v>36</v>
      </c>
      <c r="C15" s="5"/>
      <c r="D15" s="12">
        <v>6.0</v>
      </c>
      <c r="E15" s="1" t="s">
        <v>37</v>
      </c>
    </row>
    <row r="16">
      <c r="B16" s="1" t="s">
        <v>38</v>
      </c>
      <c r="C16" s="5"/>
      <c r="D16" s="12">
        <v>4.3</v>
      </c>
      <c r="E16" s="1" t="s">
        <v>39</v>
      </c>
    </row>
    <row r="17">
      <c r="C17" s="5"/>
      <c r="D17" s="13"/>
    </row>
    <row r="18">
      <c r="B18" s="1" t="s">
        <v>40</v>
      </c>
      <c r="C18" s="5"/>
      <c r="D18" s="13">
        <f>12.91/4</f>
        <v>3.2275</v>
      </c>
      <c r="E18" s="1" t="s">
        <v>41</v>
      </c>
    </row>
    <row r="19">
      <c r="C19" s="5"/>
      <c r="D19" s="13"/>
    </row>
    <row r="20">
      <c r="B20" s="1" t="s">
        <v>17</v>
      </c>
      <c r="C20" s="14">
        <f t="shared" ref="C20:C21" si="1">2*D20</f>
        <v>5.14</v>
      </c>
      <c r="D20" s="12">
        <v>2.57</v>
      </c>
      <c r="E20" s="1" t="s">
        <v>34</v>
      </c>
    </row>
    <row r="21">
      <c r="B21" s="1" t="s">
        <v>18</v>
      </c>
      <c r="C21" s="3">
        <f t="shared" si="1"/>
        <v>5.92</v>
      </c>
      <c r="D21" s="13">
        <f>1.51+1.45</f>
        <v>2.96</v>
      </c>
      <c r="E21" s="1" t="s">
        <v>39</v>
      </c>
    </row>
    <row r="22">
      <c r="C22" s="5"/>
      <c r="D22" s="13"/>
    </row>
    <row r="23">
      <c r="B23" s="15" t="s">
        <v>42</v>
      </c>
      <c r="C23" s="16"/>
      <c r="D23" s="17">
        <f>sum(D8:D21)</f>
        <v>38.3375</v>
      </c>
    </row>
    <row r="24">
      <c r="B24" s="15" t="s">
        <v>43</v>
      </c>
      <c r="C24" s="18">
        <f>sum(C2:C21)</f>
        <v>208.976</v>
      </c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  <row r="1002">
      <c r="C1002" s="5"/>
    </row>
    <row r="1003">
      <c r="C100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44</v>
      </c>
      <c r="C1" s="3" t="s">
        <v>21</v>
      </c>
      <c r="D1" s="1" t="s">
        <v>22</v>
      </c>
    </row>
    <row r="2">
      <c r="B2" s="1" t="s">
        <v>23</v>
      </c>
      <c r="C2" s="3">
        <f>Summary!C1/4</f>
        <v>5</v>
      </c>
    </row>
    <row r="3">
      <c r="B3" s="1" t="s">
        <v>24</v>
      </c>
      <c r="C3" s="5">
        <f>D23*Summary!C2</f>
        <v>138.267</v>
      </c>
    </row>
    <row r="4">
      <c r="B4" s="1" t="s">
        <v>7</v>
      </c>
      <c r="C4" s="5">
        <f>Summary!C4/4</f>
        <v>7.5</v>
      </c>
    </row>
    <row r="5">
      <c r="B5" s="1" t="s">
        <v>9</v>
      </c>
      <c r="C5" s="5">
        <f>Summary!C5/4</f>
        <v>2.5</v>
      </c>
    </row>
    <row r="6">
      <c r="B6" s="1" t="s">
        <v>25</v>
      </c>
      <c r="C6" s="5">
        <f>1.2*D6</f>
        <v>14.46</v>
      </c>
      <c r="D6" s="10">
        <f>D12+D13+D16</f>
        <v>12.05</v>
      </c>
      <c r="E6" s="1" t="s">
        <v>26</v>
      </c>
    </row>
    <row r="7">
      <c r="B7" s="1" t="s">
        <v>10</v>
      </c>
      <c r="C7" s="5">
        <f>Summary!C6/4</f>
        <v>29.41</v>
      </c>
      <c r="E7" s="1"/>
    </row>
    <row r="8">
      <c r="B8" s="1"/>
      <c r="C8" s="5"/>
      <c r="E8" s="1"/>
    </row>
    <row r="9">
      <c r="B9" s="1" t="s">
        <v>27</v>
      </c>
      <c r="C9" s="5"/>
      <c r="D9" s="11">
        <v>3.12</v>
      </c>
      <c r="E9" s="1" t="s">
        <v>28</v>
      </c>
    </row>
    <row r="10">
      <c r="B10" s="1" t="s">
        <v>29</v>
      </c>
      <c r="C10" s="5">
        <f>0.65*D10</f>
        <v>2.2945</v>
      </c>
      <c r="D10" s="12">
        <v>3.53</v>
      </c>
      <c r="E10" s="1" t="s">
        <v>28</v>
      </c>
    </row>
    <row r="11">
      <c r="B11" s="1" t="s">
        <v>30</v>
      </c>
      <c r="C11" s="5"/>
      <c r="D11" s="12">
        <v>1.99</v>
      </c>
      <c r="E11" s="1" t="s">
        <v>31</v>
      </c>
    </row>
    <row r="12">
      <c r="B12" s="1" t="s">
        <v>32</v>
      </c>
      <c r="C12" s="5"/>
      <c r="D12" s="12">
        <v>3.23</v>
      </c>
      <c r="E12" s="1" t="s">
        <v>31</v>
      </c>
    </row>
    <row r="13">
      <c r="B13" s="1" t="s">
        <v>33</v>
      </c>
      <c r="C13" s="5"/>
      <c r="D13" s="12">
        <v>4.46</v>
      </c>
      <c r="E13" s="1" t="s">
        <v>34</v>
      </c>
    </row>
    <row r="14">
      <c r="B14" s="1" t="s">
        <v>35</v>
      </c>
      <c r="C14" s="5"/>
      <c r="D14" s="12">
        <v>4.31</v>
      </c>
      <c r="E14" s="1" t="s">
        <v>31</v>
      </c>
    </row>
    <row r="15">
      <c r="B15" s="1" t="s">
        <v>36</v>
      </c>
      <c r="C15" s="5"/>
      <c r="D15" s="12">
        <v>6.07</v>
      </c>
      <c r="E15" s="1" t="s">
        <v>37</v>
      </c>
    </row>
    <row r="16">
      <c r="B16" s="1" t="s">
        <v>38</v>
      </c>
      <c r="C16" s="5"/>
      <c r="D16" s="12">
        <v>4.36</v>
      </c>
      <c r="E16" s="1" t="s">
        <v>39</v>
      </c>
    </row>
    <row r="17">
      <c r="C17" s="5"/>
      <c r="D17" s="13"/>
    </row>
    <row r="18">
      <c r="B18" s="1" t="s">
        <v>40</v>
      </c>
      <c r="C18" s="5"/>
      <c r="D18" s="13">
        <f>12.91/4</f>
        <v>3.2275</v>
      </c>
      <c r="E18" s="1" t="s">
        <v>41</v>
      </c>
    </row>
    <row r="19">
      <c r="C19" s="5"/>
      <c r="D19" s="13"/>
    </row>
    <row r="20">
      <c r="B20" s="1" t="s">
        <v>17</v>
      </c>
      <c r="C20" s="3">
        <f t="shared" ref="C20:C21" si="1">2*D20</f>
        <v>5.14</v>
      </c>
      <c r="D20" s="12">
        <v>2.57</v>
      </c>
      <c r="E20" s="1" t="s">
        <v>34</v>
      </c>
    </row>
    <row r="21">
      <c r="B21" s="1" t="s">
        <v>18</v>
      </c>
      <c r="C21" s="3">
        <f t="shared" si="1"/>
        <v>3.08</v>
      </c>
      <c r="D21" s="12">
        <v>1.54</v>
      </c>
      <c r="E21" s="1" t="s">
        <v>34</v>
      </c>
    </row>
    <row r="22">
      <c r="C22" s="5"/>
      <c r="D22" s="13"/>
    </row>
    <row r="23">
      <c r="B23" s="15" t="s">
        <v>42</v>
      </c>
      <c r="C23" s="16"/>
      <c r="D23" s="17">
        <f>sum(D8:D21)</f>
        <v>38.4075</v>
      </c>
    </row>
    <row r="24">
      <c r="B24" s="15" t="s">
        <v>43</v>
      </c>
      <c r="C24" s="18">
        <f>sum(C2:C21)</f>
        <v>207.6515</v>
      </c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  <row r="1002">
      <c r="C1002" s="5"/>
    </row>
    <row r="1003">
      <c r="C100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1" t="s">
        <v>45</v>
      </c>
      <c r="C1" s="3" t="s">
        <v>21</v>
      </c>
      <c r="D1" s="1" t="s">
        <v>22</v>
      </c>
    </row>
    <row r="2">
      <c r="B2" s="1" t="s">
        <v>23</v>
      </c>
      <c r="C2" s="3">
        <f>Summary!C1/2</f>
        <v>10</v>
      </c>
    </row>
    <row r="3">
      <c r="B3" s="1" t="s">
        <v>24</v>
      </c>
      <c r="C3" s="5">
        <f>D23*Summary!C2</f>
        <v>346.518</v>
      </c>
    </row>
    <row r="4">
      <c r="B4" s="1" t="s">
        <v>7</v>
      </c>
      <c r="C4" s="5">
        <f>Summary!C4/2</f>
        <v>15</v>
      </c>
    </row>
    <row r="5">
      <c r="B5" s="1" t="s">
        <v>9</v>
      </c>
      <c r="C5" s="5">
        <f>Summary!C5/2</f>
        <v>5</v>
      </c>
    </row>
    <row r="6">
      <c r="B6" s="1" t="s">
        <v>25</v>
      </c>
      <c r="C6" s="5">
        <f>1.2*D6</f>
        <v>27.444</v>
      </c>
      <c r="D6" s="10">
        <f>D12+D13+D16</f>
        <v>22.87</v>
      </c>
      <c r="E6" s="1" t="s">
        <v>26</v>
      </c>
    </row>
    <row r="7">
      <c r="B7" s="1" t="s">
        <v>10</v>
      </c>
      <c r="C7" s="5">
        <f>Summary!C6/2</f>
        <v>58.82</v>
      </c>
      <c r="E7" s="1"/>
    </row>
    <row r="8">
      <c r="B8" s="1"/>
      <c r="C8" s="5"/>
      <c r="D8" s="1"/>
      <c r="E8" s="1"/>
    </row>
    <row r="9">
      <c r="B9" s="1" t="s">
        <v>27</v>
      </c>
      <c r="C9" s="5"/>
      <c r="D9" s="11">
        <v>7.19</v>
      </c>
      <c r="E9" s="1" t="s">
        <v>46</v>
      </c>
    </row>
    <row r="10">
      <c r="B10" s="1" t="s">
        <v>29</v>
      </c>
      <c r="C10" s="5">
        <f>0.65*D10</f>
        <v>4.407</v>
      </c>
      <c r="D10" s="12">
        <f>5.69+1.09</f>
        <v>6.78</v>
      </c>
      <c r="E10" s="1" t="s">
        <v>47</v>
      </c>
    </row>
    <row r="11">
      <c r="B11" s="1" t="s">
        <v>30</v>
      </c>
      <c r="C11" s="5"/>
      <c r="D11" s="13"/>
    </row>
    <row r="12">
      <c r="B12" s="1" t="s">
        <v>32</v>
      </c>
      <c r="C12" s="5"/>
      <c r="D12" s="12">
        <v>4.47</v>
      </c>
      <c r="E12" s="1" t="s">
        <v>34</v>
      </c>
    </row>
    <row r="13">
      <c r="B13" s="1" t="s">
        <v>33</v>
      </c>
      <c r="C13" s="5"/>
      <c r="D13" s="12">
        <v>11.29</v>
      </c>
      <c r="E13" s="1" t="s">
        <v>39</v>
      </c>
    </row>
    <row r="14">
      <c r="B14" s="1" t="s">
        <v>35</v>
      </c>
      <c r="C14" s="5"/>
      <c r="D14" s="12">
        <v>16.36</v>
      </c>
      <c r="E14" s="1" t="s">
        <v>39</v>
      </c>
    </row>
    <row r="15">
      <c r="B15" s="1" t="s">
        <v>36</v>
      </c>
      <c r="C15" s="5"/>
      <c r="D15" s="12">
        <v>12.61</v>
      </c>
      <c r="E15" s="1" t="s">
        <v>48</v>
      </c>
    </row>
    <row r="16">
      <c r="B16" s="1" t="s">
        <v>38</v>
      </c>
      <c r="C16" s="5"/>
      <c r="D16" s="12">
        <v>7.11</v>
      </c>
      <c r="E16" s="1" t="s">
        <v>46</v>
      </c>
      <c r="F16" s="1" t="s">
        <v>49</v>
      </c>
    </row>
    <row r="17">
      <c r="B17" s="1" t="s">
        <v>50</v>
      </c>
      <c r="C17" s="5">
        <f>0.8*D17</f>
        <v>11.2</v>
      </c>
      <c r="D17" s="12">
        <v>14.0</v>
      </c>
    </row>
    <row r="18">
      <c r="B18" s="1" t="s">
        <v>40</v>
      </c>
      <c r="C18" s="5"/>
      <c r="D18" s="13">
        <f>12.91/2</f>
        <v>6.455</v>
      </c>
      <c r="E18" s="1" t="s">
        <v>41</v>
      </c>
    </row>
    <row r="19">
      <c r="C19" s="5"/>
      <c r="D19" s="13"/>
    </row>
    <row r="20">
      <c r="B20" s="1" t="s">
        <v>17</v>
      </c>
      <c r="C20" s="19">
        <f t="shared" ref="C20:C21" si="1">2*D20</f>
        <v>8.06</v>
      </c>
      <c r="D20" s="12">
        <v>4.03</v>
      </c>
      <c r="E20" s="1" t="s">
        <v>28</v>
      </c>
    </row>
    <row r="21">
      <c r="B21" s="1" t="s">
        <v>18</v>
      </c>
      <c r="C21" s="3">
        <f t="shared" si="1"/>
        <v>11.92</v>
      </c>
      <c r="D21" s="13">
        <f>5.54-0.31+0.73</f>
        <v>5.96</v>
      </c>
      <c r="E21" s="1" t="s">
        <v>51</v>
      </c>
    </row>
    <row r="22">
      <c r="C22" s="5"/>
      <c r="D22" s="13"/>
    </row>
    <row r="23">
      <c r="B23" s="15" t="s">
        <v>42</v>
      </c>
      <c r="C23" s="16"/>
      <c r="D23" s="17">
        <f>sum(D7:D21)</f>
        <v>96.255</v>
      </c>
    </row>
    <row r="24">
      <c r="B24" s="15" t="s">
        <v>43</v>
      </c>
      <c r="C24" s="18">
        <f>sum(C2:C21)</f>
        <v>498.369</v>
      </c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  <row r="1001">
      <c r="C1001" s="5"/>
    </row>
    <row r="1002">
      <c r="C1002" s="5"/>
    </row>
    <row r="1003">
      <c r="C1003" s="5"/>
    </row>
  </sheetData>
  <drawing r:id="rId1"/>
</worksheet>
</file>